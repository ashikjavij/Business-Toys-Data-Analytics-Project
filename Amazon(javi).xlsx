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shikjavij/Documents/Business Toy Project/"/>
    </mc:Choice>
  </mc:AlternateContent>
  <xr:revisionPtr revIDLastSave="0" documentId="13_ncr:1_{9A25E6D4-4AE3-E943-A0BC-9EB2FB379B55}" xr6:coauthVersionLast="47" xr6:coauthVersionMax="47" xr10:uidLastSave="{00000000-0000-0000-0000-000000000000}"/>
  <bookViews>
    <workbookView xWindow="0" yWindow="680" windowWidth="29400" windowHeight="17040" activeTab="3" xr2:uid="{00000000-000D-0000-FFFF-FFFF00000000}"/>
  </bookViews>
  <sheets>
    <sheet name="Data" sheetId="1" r:id="rId1"/>
    <sheet name="Correlation" sheetId="6" r:id="rId2"/>
    <sheet name="Regression" sheetId="3" r:id="rId3"/>
    <sheet name="Dashboard" sheetId="5" r:id="rId4"/>
  </sheets>
  <externalReferences>
    <externalReference r:id="rId5"/>
  </externalReference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Data!$H$14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7" roundtripDataChecksum="/94a4Wuz0Nwg0FcMhR4A7u3RmCnmFPoLz4rahEeXaRU="/>
    </ext>
  </extLst>
</workbook>
</file>

<file path=xl/calcChain.xml><?xml version="1.0" encoding="utf-8"?>
<calcChain xmlns="http://schemas.openxmlformats.org/spreadsheetml/2006/main">
  <c r="G7" i="3" l="1"/>
  <c r="H7" i="3"/>
  <c r="F7" i="3"/>
  <c r="V12" i="1" l="1"/>
  <c r="G11" i="3"/>
  <c r="G13" i="3" l="1"/>
  <c r="M18" i="5" s="1"/>
  <c r="E18" i="5"/>
  <c r="J11" i="1"/>
  <c r="J10" i="1"/>
  <c r="J9" i="1"/>
  <c r="C66" i="1"/>
  <c r="D66" i="1"/>
  <c r="E66" i="1"/>
  <c r="B66" i="1"/>
  <c r="C65" i="1"/>
  <c r="D65" i="1"/>
  <c r="E65" i="1"/>
  <c r="B65" i="1"/>
  <c r="C64" i="1"/>
  <c r="D64" i="1"/>
  <c r="E64" i="1"/>
  <c r="B64" i="1"/>
  <c r="C63" i="1"/>
  <c r="D63" i="1"/>
  <c r="E63" i="1"/>
  <c r="B63" i="1"/>
</calcChain>
</file>

<file path=xl/sharedStrings.xml><?xml version="1.0" encoding="utf-8"?>
<sst xmlns="http://schemas.openxmlformats.org/spreadsheetml/2006/main" count="126" uniqueCount="106">
  <si>
    <t>Name</t>
  </si>
  <si>
    <t>Performance</t>
  </si>
  <si>
    <t>IQ</t>
  </si>
  <si>
    <t xml:space="preserve">Motivation </t>
  </si>
  <si>
    <t>Annual Salary</t>
  </si>
  <si>
    <t>Reetu Rani</t>
  </si>
  <si>
    <t xml:space="preserve">Akshya </t>
  </si>
  <si>
    <t>Akshya Bhatt</t>
  </si>
  <si>
    <t>Dilip</t>
  </si>
  <si>
    <t>Kiran Babu</t>
  </si>
  <si>
    <t>Nitin K</t>
  </si>
  <si>
    <t>Anuj Aggrwal</t>
  </si>
  <si>
    <t>Ronit Kundu</t>
  </si>
  <si>
    <t>Avik Ghosh</t>
  </si>
  <si>
    <t>Priyanka Kundalia</t>
  </si>
  <si>
    <t>Shiv Kumar</t>
  </si>
  <si>
    <t>Rasika</t>
  </si>
  <si>
    <t>Bhavna Tulsian</t>
  </si>
  <si>
    <t>Aditya Raval</t>
  </si>
  <si>
    <t>MVL Manikantan</t>
  </si>
  <si>
    <t>Meher Legha</t>
  </si>
  <si>
    <t>Tanay Singh</t>
  </si>
  <si>
    <t>Rohan Bharaj</t>
  </si>
  <si>
    <t>Utkarsh Bali</t>
  </si>
  <si>
    <t>Roger Vaguez</t>
  </si>
  <si>
    <t>Amn Kumar</t>
  </si>
  <si>
    <t>Dinesh Sairam</t>
  </si>
  <si>
    <t>Soumya Devi K.T</t>
  </si>
  <si>
    <t>Saurav George</t>
  </si>
  <si>
    <t>Jyoti Dixit</t>
  </si>
  <si>
    <t>Shashank Prem Kumar</t>
  </si>
  <si>
    <t>Sneha James</t>
  </si>
  <si>
    <t>Priyanka M.V</t>
  </si>
  <si>
    <t>Alwin Sebastin</t>
  </si>
  <si>
    <t>Arun Joy</t>
  </si>
  <si>
    <t>Sreelakshmi Surendran</t>
  </si>
  <si>
    <t>Christy Joseph</t>
  </si>
  <si>
    <t>Koushik Surendranath</t>
  </si>
  <si>
    <t>Jethin Varghese</t>
  </si>
  <si>
    <t>Neetha S</t>
  </si>
  <si>
    <t>Nicolette</t>
  </si>
  <si>
    <t>Jhanavi.G</t>
  </si>
  <si>
    <t>Prateek</t>
  </si>
  <si>
    <t>Rajat</t>
  </si>
  <si>
    <t>Sini Varghese</t>
  </si>
  <si>
    <t>Sachin Santhosh</t>
  </si>
  <si>
    <t>Joel Joe Easow</t>
  </si>
  <si>
    <t>Paul Roy</t>
  </si>
  <si>
    <t>Rohit Chandy</t>
  </si>
  <si>
    <t>Kishlay Kumar</t>
  </si>
  <si>
    <t>Rakshitha</t>
  </si>
  <si>
    <t>Jerome Jose</t>
  </si>
  <si>
    <t>Sachin</t>
  </si>
  <si>
    <t>Arjun</t>
  </si>
  <si>
    <t>Sathisha</t>
  </si>
  <si>
    <t>Vinod C</t>
  </si>
  <si>
    <t>Vinay Kumar K</t>
  </si>
  <si>
    <t>Akshay</t>
  </si>
  <si>
    <t>Mahesh Kumar</t>
  </si>
  <si>
    <t>Srinivas</t>
  </si>
  <si>
    <t>Mean</t>
  </si>
  <si>
    <t>Mode</t>
  </si>
  <si>
    <t>Median</t>
  </si>
  <si>
    <t>3rd Quartile</t>
  </si>
  <si>
    <t>Correlation Test</t>
  </si>
  <si>
    <t>Performance v/s IQ</t>
  </si>
  <si>
    <t>Performance v/s MOT</t>
  </si>
  <si>
    <t>Performance v/s AS</t>
  </si>
  <si>
    <t>Y Performance</t>
  </si>
  <si>
    <t>X-IQ</t>
  </si>
  <si>
    <t>y</t>
  </si>
  <si>
    <t>m</t>
  </si>
  <si>
    <t>x</t>
  </si>
  <si>
    <t>c</t>
  </si>
  <si>
    <t xml:space="preserve">MLP </t>
  </si>
  <si>
    <t>Y=m1x1+m2x2+m3x3+c</t>
  </si>
  <si>
    <t>assumed value</t>
  </si>
  <si>
    <t>x1 - IQ</t>
  </si>
  <si>
    <t>x2 - MOT</t>
  </si>
  <si>
    <t>x3 - AS</t>
  </si>
  <si>
    <t>y- Performance</t>
  </si>
  <si>
    <t>SUMMARY OUTPUT</t>
  </si>
  <si>
    <t>Coefficients</t>
  </si>
  <si>
    <t>Candidate</t>
  </si>
  <si>
    <t>Mr.X</t>
  </si>
  <si>
    <t>Intercept</t>
  </si>
  <si>
    <t>C</t>
  </si>
  <si>
    <t>X1</t>
  </si>
  <si>
    <t>X2</t>
  </si>
  <si>
    <t>X3</t>
  </si>
  <si>
    <t>M1</t>
  </si>
  <si>
    <t>MOT</t>
  </si>
  <si>
    <t>AS</t>
  </si>
  <si>
    <t>M2</t>
  </si>
  <si>
    <t>Values</t>
  </si>
  <si>
    <t>M3</t>
  </si>
  <si>
    <t>Hiring Status</t>
  </si>
  <si>
    <t>EMPLOYEE PERFORMANCE PREDICTION MODEL</t>
  </si>
  <si>
    <t>MOTIVATION</t>
  </si>
  <si>
    <t>SALARY</t>
  </si>
  <si>
    <t>HIRING STATUS</t>
  </si>
  <si>
    <t xml:space="preserve">PERFORMACE </t>
  </si>
  <si>
    <t>What impacts performance? Set priorities</t>
  </si>
  <si>
    <t>1. Motivation</t>
  </si>
  <si>
    <t>2. IQ</t>
  </si>
  <si>
    <t>3.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</si>
</sst>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name val="Eras Bold ITC"/>
      <family val="2"/>
    </font>
    <font>
      <sz val="20"/>
      <color theme="1"/>
      <name val="Eras Bold ITC"/>
      <family val="2"/>
    </font>
    <font>
      <b/>
      <sz val="14"/>
      <name val="Rockwell Extra Bold"/>
      <family val="1"/>
    </font>
    <font>
      <b/>
      <sz val="11"/>
      <color theme="0"/>
      <name val="Calibri"/>
      <family val="2"/>
      <scheme val="minor"/>
    </font>
    <font>
      <b/>
      <sz val="14"/>
      <color theme="1"/>
      <name val="Californian FB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4">
    <xf numFmtId="0" fontId="0" fillId="0" borderId="0" xfId="0"/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2" fillId="0" borderId="0" xfId="0" applyFont="1"/>
    <xf numFmtId="2" fontId="0" fillId="0" borderId="0" xfId="0" applyNumberFormat="1"/>
    <xf numFmtId="9" fontId="0" fillId="0" borderId="0" xfId="1" applyFont="1"/>
    <xf numFmtId="0" fontId="0" fillId="0" borderId="1" xfId="0" applyBorder="1"/>
    <xf numFmtId="2" fontId="0" fillId="0" borderId="0" xfId="1" applyNumberFormat="1" applyFont="1"/>
    <xf numFmtId="0" fontId="2" fillId="0" borderId="2" xfId="0" applyFont="1" applyBorder="1"/>
    <xf numFmtId="0" fontId="2" fillId="0" borderId="3" xfId="0" applyFont="1" applyBorder="1"/>
    <xf numFmtId="9" fontId="4" fillId="0" borderId="4" xfId="1" applyFont="1" applyFill="1" applyBorder="1" applyAlignment="1">
      <alignment horizontal="center"/>
    </xf>
    <xf numFmtId="9" fontId="0" fillId="0" borderId="0" xfId="1" applyFont="1" applyFill="1" applyBorder="1" applyAlignment="1"/>
    <xf numFmtId="9" fontId="0" fillId="0" borderId="5" xfId="1" applyFont="1" applyFill="1" applyBorder="1" applyAlignment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1" fontId="0" fillId="0" borderId="1" xfId="0" applyNumberFormat="1" applyBorder="1"/>
    <xf numFmtId="0" fontId="0" fillId="0" borderId="1" xfId="0" applyBorder="1" applyAlignment="1">
      <alignment horizontal="center" textRotation="45"/>
    </xf>
    <xf numFmtId="0" fontId="7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IQ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9"/>
            <c:marker>
              <c:symbol val="circle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21A-9A48-A892-CC10EE448E90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474014048340399"/>
                  <c:y val="-0.247965591454931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Data!$B$2:$B$1000</c:f>
              <c:numCache>
                <c:formatCode>0</c:formatCode>
                <c:ptCount val="999"/>
                <c:pt idx="0">
                  <c:v>85</c:v>
                </c:pt>
                <c:pt idx="1">
                  <c:v>84</c:v>
                </c:pt>
                <c:pt idx="2">
                  <c:v>87</c:v>
                </c:pt>
                <c:pt idx="3">
                  <c:v>69</c:v>
                </c:pt>
                <c:pt idx="4">
                  <c:v>69</c:v>
                </c:pt>
                <c:pt idx="5">
                  <c:v>81</c:v>
                </c:pt>
                <c:pt idx="6">
                  <c:v>71</c:v>
                </c:pt>
                <c:pt idx="7">
                  <c:v>76</c:v>
                </c:pt>
                <c:pt idx="8">
                  <c:v>77</c:v>
                </c:pt>
                <c:pt idx="9">
                  <c:v>76</c:v>
                </c:pt>
                <c:pt idx="10">
                  <c:v>90</c:v>
                </c:pt>
                <c:pt idx="11">
                  <c:v>74</c:v>
                </c:pt>
                <c:pt idx="12">
                  <c:v>74</c:v>
                </c:pt>
                <c:pt idx="13">
                  <c:v>65</c:v>
                </c:pt>
                <c:pt idx="14">
                  <c:v>66</c:v>
                </c:pt>
                <c:pt idx="15">
                  <c:v>73</c:v>
                </c:pt>
                <c:pt idx="16">
                  <c:v>80</c:v>
                </c:pt>
                <c:pt idx="17">
                  <c:v>96</c:v>
                </c:pt>
                <c:pt idx="18">
                  <c:v>77</c:v>
                </c:pt>
                <c:pt idx="19">
                  <c:v>73</c:v>
                </c:pt>
                <c:pt idx="20">
                  <c:v>70</c:v>
                </c:pt>
                <c:pt idx="21">
                  <c:v>68</c:v>
                </c:pt>
                <c:pt idx="22">
                  <c:v>66</c:v>
                </c:pt>
                <c:pt idx="23">
                  <c:v>86</c:v>
                </c:pt>
                <c:pt idx="24">
                  <c:v>88</c:v>
                </c:pt>
                <c:pt idx="25">
                  <c:v>82</c:v>
                </c:pt>
                <c:pt idx="26">
                  <c:v>85</c:v>
                </c:pt>
                <c:pt idx="27">
                  <c:v>78</c:v>
                </c:pt>
                <c:pt idx="28">
                  <c:v>87</c:v>
                </c:pt>
                <c:pt idx="29">
                  <c:v>72</c:v>
                </c:pt>
                <c:pt idx="30">
                  <c:v>87</c:v>
                </c:pt>
                <c:pt idx="31">
                  <c:v>81</c:v>
                </c:pt>
                <c:pt idx="32">
                  <c:v>83</c:v>
                </c:pt>
                <c:pt idx="33">
                  <c:v>87</c:v>
                </c:pt>
                <c:pt idx="34">
                  <c:v>63</c:v>
                </c:pt>
                <c:pt idx="35">
                  <c:v>80</c:v>
                </c:pt>
                <c:pt idx="36">
                  <c:v>99</c:v>
                </c:pt>
                <c:pt idx="37">
                  <c:v>79</c:v>
                </c:pt>
                <c:pt idx="38">
                  <c:v>71</c:v>
                </c:pt>
                <c:pt idx="39">
                  <c:v>82</c:v>
                </c:pt>
                <c:pt idx="40">
                  <c:v>85</c:v>
                </c:pt>
                <c:pt idx="41">
                  <c:v>75</c:v>
                </c:pt>
                <c:pt idx="42">
                  <c:v>81</c:v>
                </c:pt>
                <c:pt idx="43">
                  <c:v>68</c:v>
                </c:pt>
                <c:pt idx="44">
                  <c:v>81</c:v>
                </c:pt>
                <c:pt idx="45">
                  <c:v>80</c:v>
                </c:pt>
                <c:pt idx="46">
                  <c:v>78</c:v>
                </c:pt>
                <c:pt idx="47">
                  <c:v>62</c:v>
                </c:pt>
                <c:pt idx="48">
                  <c:v>81</c:v>
                </c:pt>
                <c:pt idx="49">
                  <c:v>76</c:v>
                </c:pt>
                <c:pt idx="50">
                  <c:v>77</c:v>
                </c:pt>
                <c:pt idx="51">
                  <c:v>74</c:v>
                </c:pt>
                <c:pt idx="52">
                  <c:v>69</c:v>
                </c:pt>
                <c:pt idx="53">
                  <c:v>68</c:v>
                </c:pt>
                <c:pt idx="54">
                  <c:v>85</c:v>
                </c:pt>
                <c:pt idx="55">
                  <c:v>79</c:v>
                </c:pt>
                <c:pt idx="56">
                  <c:v>74</c:v>
                </c:pt>
                <c:pt idx="57">
                  <c:v>81</c:v>
                </c:pt>
                <c:pt idx="58">
                  <c:v>84</c:v>
                </c:pt>
                <c:pt idx="59">
                  <c:v>92</c:v>
                </c:pt>
                <c:pt idx="61">
                  <c:v>78.11666666666666</c:v>
                </c:pt>
                <c:pt idx="62">
                  <c:v>78.5</c:v>
                </c:pt>
                <c:pt idx="63">
                  <c:v>81</c:v>
                </c:pt>
                <c:pt idx="64">
                  <c:v>84</c:v>
                </c:pt>
              </c:numCache>
            </c:numRef>
          </c:xVal>
          <c:yVal>
            <c:numRef>
              <c:f>Data!$C$2:$C$1000</c:f>
              <c:numCache>
                <c:formatCode>0</c:formatCode>
                <c:ptCount val="999"/>
                <c:pt idx="0">
                  <c:v>109</c:v>
                </c:pt>
                <c:pt idx="1">
                  <c:v>106</c:v>
                </c:pt>
                <c:pt idx="2">
                  <c:v>125</c:v>
                </c:pt>
                <c:pt idx="3">
                  <c:v>84</c:v>
                </c:pt>
                <c:pt idx="4">
                  <c:v>89</c:v>
                </c:pt>
                <c:pt idx="5">
                  <c:v>109</c:v>
                </c:pt>
                <c:pt idx="6">
                  <c:v>121</c:v>
                </c:pt>
                <c:pt idx="7">
                  <c:v>102</c:v>
                </c:pt>
                <c:pt idx="8">
                  <c:v>111</c:v>
                </c:pt>
                <c:pt idx="9">
                  <c:v>106</c:v>
                </c:pt>
                <c:pt idx="10">
                  <c:v>107</c:v>
                </c:pt>
                <c:pt idx="11">
                  <c:v>97</c:v>
                </c:pt>
                <c:pt idx="12">
                  <c:v>133</c:v>
                </c:pt>
                <c:pt idx="13">
                  <c:v>96</c:v>
                </c:pt>
                <c:pt idx="14">
                  <c:v>97</c:v>
                </c:pt>
                <c:pt idx="15">
                  <c:v>116</c:v>
                </c:pt>
                <c:pt idx="16">
                  <c:v>108</c:v>
                </c:pt>
                <c:pt idx="17">
                  <c:v>102</c:v>
                </c:pt>
                <c:pt idx="18">
                  <c:v>94</c:v>
                </c:pt>
                <c:pt idx="19">
                  <c:v>98</c:v>
                </c:pt>
                <c:pt idx="20">
                  <c:v>87</c:v>
                </c:pt>
                <c:pt idx="21">
                  <c:v>104</c:v>
                </c:pt>
                <c:pt idx="22">
                  <c:v>85</c:v>
                </c:pt>
                <c:pt idx="23">
                  <c:v>145</c:v>
                </c:pt>
                <c:pt idx="24">
                  <c:v>105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135</c:v>
                </c:pt>
                <c:pt idx="29">
                  <c:v>104</c:v>
                </c:pt>
                <c:pt idx="30">
                  <c:v>126</c:v>
                </c:pt>
                <c:pt idx="31">
                  <c:v>121</c:v>
                </c:pt>
                <c:pt idx="32">
                  <c:v>106</c:v>
                </c:pt>
                <c:pt idx="33">
                  <c:v>107</c:v>
                </c:pt>
                <c:pt idx="34">
                  <c:v>102</c:v>
                </c:pt>
                <c:pt idx="35">
                  <c:v>85</c:v>
                </c:pt>
                <c:pt idx="36">
                  <c:v>143</c:v>
                </c:pt>
                <c:pt idx="37">
                  <c:v>110</c:v>
                </c:pt>
                <c:pt idx="38">
                  <c:v>128</c:v>
                </c:pt>
                <c:pt idx="39">
                  <c:v>104</c:v>
                </c:pt>
                <c:pt idx="40">
                  <c:v>101</c:v>
                </c:pt>
                <c:pt idx="41">
                  <c:v>94</c:v>
                </c:pt>
                <c:pt idx="42">
                  <c:v>106</c:v>
                </c:pt>
                <c:pt idx="43">
                  <c:v>102</c:v>
                </c:pt>
                <c:pt idx="44">
                  <c:v>98</c:v>
                </c:pt>
                <c:pt idx="45">
                  <c:v>112</c:v>
                </c:pt>
                <c:pt idx="46">
                  <c:v>87</c:v>
                </c:pt>
                <c:pt idx="47">
                  <c:v>73</c:v>
                </c:pt>
                <c:pt idx="48">
                  <c:v>94</c:v>
                </c:pt>
                <c:pt idx="49">
                  <c:v>117</c:v>
                </c:pt>
                <c:pt idx="50">
                  <c:v>112</c:v>
                </c:pt>
                <c:pt idx="51">
                  <c:v>113</c:v>
                </c:pt>
                <c:pt idx="52">
                  <c:v>94</c:v>
                </c:pt>
                <c:pt idx="53">
                  <c:v>119</c:v>
                </c:pt>
                <c:pt idx="54">
                  <c:v>111</c:v>
                </c:pt>
                <c:pt idx="55">
                  <c:v>104</c:v>
                </c:pt>
                <c:pt idx="56">
                  <c:v>99</c:v>
                </c:pt>
                <c:pt idx="57">
                  <c:v>104</c:v>
                </c:pt>
                <c:pt idx="58">
                  <c:v>108</c:v>
                </c:pt>
                <c:pt idx="59">
                  <c:v>130</c:v>
                </c:pt>
                <c:pt idx="61">
                  <c:v>106.65</c:v>
                </c:pt>
                <c:pt idx="62">
                  <c:v>105.5</c:v>
                </c:pt>
                <c:pt idx="63">
                  <c:v>104</c:v>
                </c:pt>
                <c:pt idx="64" formatCode="0.00">
                  <c:v>112.25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A-9A48-A892-CC10EE44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882304"/>
        <c:axId val="1382884992"/>
      </c:scatterChart>
      <c:valAx>
        <c:axId val="138288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84992"/>
        <c:crosses val="autoZero"/>
        <c:crossBetween val="midCat"/>
      </c:valAx>
      <c:valAx>
        <c:axId val="138288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8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5" fmlaLink="$I$10" max="100" min="30" page="10" val="100"/>
</file>

<file path=xl/ctrlProps/ctrlProp2.xml><?xml version="1.0" encoding="utf-8"?>
<formControlPr xmlns="http://schemas.microsoft.com/office/spreadsheetml/2009/9/main" objectType="Spin" dx="15" fmlaLink="$N$10" max="100" min="40" page="10" val="95"/>
</file>

<file path=xl/ctrlProps/ctrlProp3.xml><?xml version="1.0" encoding="utf-8"?>
<formControlPr xmlns="http://schemas.microsoft.com/office/spreadsheetml/2009/9/main" objectType="Spin" dx="15" fmlaLink="$D$10" max="150" min="70" page="10" val="136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255477</xdr:colOff>
      <xdr:row>13</xdr:row>
      <xdr:rowOff>79277</xdr:rowOff>
    </xdr:from>
    <xdr:to>
      <xdr:col>13</xdr:col>
      <xdr:colOff>193328</xdr:colOff>
      <xdr:row>29</xdr:row>
      <xdr:rowOff>14305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51C71-4413-29F9-F1DE-6E9B77582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25400</xdr:colOff>
          <xdr:row>9</xdr:row>
          <xdr:rowOff>0</xdr:rowOff>
        </xdr:from>
        <xdr:to>
          <xdr:col>7</xdr:col>
          <xdr:colOff>774700</xdr:colOff>
          <xdr:row>12</xdr:row>
          <xdr:rowOff>50800</xdr:rowOff>
        </xdr:to>
        <xdr:sp macro="" textlink="">
          <xdr:nvSpPr>
            <xdr:cNvPr id="5122" name="Spinner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8</xdr:row>
          <xdr:rowOff>177800</xdr:rowOff>
        </xdr:from>
        <xdr:to>
          <xdr:col>12</xdr:col>
          <xdr:colOff>774700</xdr:colOff>
          <xdr:row>12</xdr:row>
          <xdr:rowOff>25400</xdr:rowOff>
        </xdr:to>
        <xdr:sp macro="" textlink="">
          <xdr:nvSpPr>
            <xdr:cNvPr id="5123" name="Spinner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8</xdr:row>
          <xdr:rowOff>190500</xdr:rowOff>
        </xdr:from>
        <xdr:to>
          <xdr:col>2</xdr:col>
          <xdr:colOff>774700</xdr:colOff>
          <xdr:row>12</xdr:row>
          <xdr:rowOff>101600</xdr:rowOff>
        </xdr:to>
        <xdr:sp macro="" textlink="">
          <xdr:nvSpPr>
            <xdr:cNvPr id="5124" name="Spinner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hikjavij/Documents/Business%20Toy%20Project/Amazon%20Data%20excel%20(ELAVARASAN%20M).xlsx" TargetMode="External"/><Relationship Id="rId1" Type="http://schemas.openxmlformats.org/officeDocument/2006/relationships/externalLinkPath" Target="Amazon%20Data%20excel%20(ELAVARASAN%20M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relation Matrix"/>
      <sheetName val="Regression Matrix"/>
      <sheetName val="Data"/>
      <sheetName val="Dashboard"/>
    </sheetNames>
    <sheetDataSet>
      <sheetData sheetId="0"/>
      <sheetData sheetId="1"/>
      <sheetData sheetId="2"/>
      <sheetData sheetId="3">
        <row r="10">
          <cell r="I10">
            <v>83</v>
          </cell>
          <cell r="N10">
            <v>76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057139-833A-5E45-900C-E24D4B5586AF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zoomScale="111" workbookViewId="0">
      <selection activeCell="J9" sqref="J9"/>
    </sheetView>
  </sheetViews>
  <sheetFormatPr baseColWidth="10" defaultColWidth="14.5" defaultRowHeight="15" customHeight="1" x14ac:dyDescent="0.2"/>
  <cols>
    <col min="1" max="1" width="21.83203125" customWidth="1"/>
    <col min="2" max="5" width="13.5" customWidth="1"/>
    <col min="6" max="26" width="8.6640625" customWidth="1"/>
  </cols>
  <sheetData>
    <row r="1" spans="1:2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2" ht="14.25" customHeight="1" x14ac:dyDescent="0.2">
      <c r="A2" s="2" t="s">
        <v>5</v>
      </c>
      <c r="B2" s="3">
        <v>85</v>
      </c>
      <c r="C2" s="3">
        <v>109</v>
      </c>
      <c r="D2" s="3">
        <v>89</v>
      </c>
      <c r="E2" s="3">
        <v>73</v>
      </c>
    </row>
    <row r="3" spans="1:22" ht="14.25" customHeight="1" x14ac:dyDescent="0.2">
      <c r="A3" s="2" t="s">
        <v>6</v>
      </c>
      <c r="B3" s="3">
        <v>84</v>
      </c>
      <c r="C3" s="3">
        <v>106</v>
      </c>
      <c r="D3" s="3">
        <v>84</v>
      </c>
      <c r="E3" s="3">
        <v>80</v>
      </c>
    </row>
    <row r="4" spans="1:22" ht="14.25" customHeight="1" x14ac:dyDescent="0.2">
      <c r="A4" s="2" t="s">
        <v>7</v>
      </c>
      <c r="B4" s="3">
        <v>87</v>
      </c>
      <c r="C4" s="3">
        <v>125</v>
      </c>
      <c r="D4" s="3">
        <v>59</v>
      </c>
      <c r="E4" s="3">
        <v>67</v>
      </c>
    </row>
    <row r="5" spans="1:22" ht="14.25" customHeight="1" x14ac:dyDescent="0.2">
      <c r="A5" s="2" t="s">
        <v>8</v>
      </c>
      <c r="B5" s="3">
        <v>69</v>
      </c>
      <c r="C5" s="3">
        <v>84</v>
      </c>
      <c r="D5" s="3">
        <v>60</v>
      </c>
      <c r="E5" s="3">
        <v>58</v>
      </c>
    </row>
    <row r="6" spans="1:22" ht="14.25" customHeight="1" x14ac:dyDescent="0.2">
      <c r="A6" s="2" t="s">
        <v>9</v>
      </c>
      <c r="B6" s="3">
        <v>69</v>
      </c>
      <c r="C6" s="3">
        <v>89</v>
      </c>
      <c r="D6" s="3">
        <v>60</v>
      </c>
      <c r="E6" s="3">
        <v>67</v>
      </c>
    </row>
    <row r="7" spans="1:22" ht="14.25" customHeight="1" x14ac:dyDescent="0.2">
      <c r="A7" s="2" t="s">
        <v>10</v>
      </c>
      <c r="B7" s="3">
        <v>81</v>
      </c>
      <c r="C7" s="3">
        <v>109</v>
      </c>
      <c r="D7" s="3">
        <v>62</v>
      </c>
      <c r="E7" s="3">
        <v>75</v>
      </c>
      <c r="H7" s="5" t="s">
        <v>64</v>
      </c>
      <c r="Q7" s="8"/>
      <c r="R7" s="8"/>
      <c r="S7" s="8" t="s">
        <v>68</v>
      </c>
      <c r="T7" s="8"/>
      <c r="U7" s="8"/>
      <c r="V7" s="8"/>
    </row>
    <row r="8" spans="1:22" ht="14.25" customHeight="1" x14ac:dyDescent="0.2">
      <c r="A8" s="2" t="s">
        <v>11</v>
      </c>
      <c r="B8" s="3">
        <v>71</v>
      </c>
      <c r="C8" s="3">
        <v>121</v>
      </c>
      <c r="D8" s="3">
        <v>67</v>
      </c>
      <c r="E8" s="3">
        <v>55</v>
      </c>
      <c r="P8" s="5"/>
      <c r="Q8" s="8"/>
      <c r="R8" s="8"/>
      <c r="S8" s="8" t="s">
        <v>69</v>
      </c>
      <c r="T8" s="8"/>
      <c r="U8" s="8"/>
      <c r="V8" s="8"/>
    </row>
    <row r="9" spans="1:22" ht="14.25" customHeight="1" x14ac:dyDescent="0.2">
      <c r="A9" s="2" t="s">
        <v>12</v>
      </c>
      <c r="B9" s="3">
        <v>76</v>
      </c>
      <c r="C9" s="3">
        <v>102</v>
      </c>
      <c r="D9" s="3">
        <v>44</v>
      </c>
      <c r="E9" s="3">
        <v>73</v>
      </c>
      <c r="H9" s="5" t="s">
        <v>65</v>
      </c>
      <c r="J9" s="7">
        <f>CORREL(B2:B61,C2:C61)</f>
        <v>0.47378037358041264</v>
      </c>
      <c r="Q9" s="8"/>
      <c r="R9" s="8"/>
      <c r="S9" s="8"/>
      <c r="T9" s="8"/>
      <c r="U9" s="8"/>
      <c r="V9" s="8"/>
    </row>
    <row r="10" spans="1:22" ht="14.25" customHeight="1" x14ac:dyDescent="0.2">
      <c r="A10" s="2" t="s">
        <v>13</v>
      </c>
      <c r="B10" s="3">
        <v>77</v>
      </c>
      <c r="C10" s="3">
        <v>111</v>
      </c>
      <c r="D10" s="3">
        <v>68</v>
      </c>
      <c r="E10" s="3">
        <v>60</v>
      </c>
      <c r="H10" s="5" t="s">
        <v>66</v>
      </c>
      <c r="J10" s="7">
        <f>CORREL(B2:B61,D2:D61)</f>
        <v>0.63486568560661627</v>
      </c>
      <c r="Q10" s="8"/>
      <c r="R10" s="8"/>
      <c r="S10" s="8"/>
      <c r="T10" s="8"/>
      <c r="U10" s="8"/>
      <c r="V10" s="8"/>
    </row>
    <row r="11" spans="1:22" ht="14.25" customHeight="1" x14ac:dyDescent="0.2">
      <c r="A11" s="2" t="s">
        <v>14</v>
      </c>
      <c r="B11" s="3">
        <v>76</v>
      </c>
      <c r="C11" s="3">
        <v>106</v>
      </c>
      <c r="D11" s="3">
        <v>63</v>
      </c>
      <c r="E11" s="3">
        <v>54</v>
      </c>
      <c r="H11" s="5" t="s">
        <v>67</v>
      </c>
      <c r="J11" s="7">
        <f>CORREL(B2:B61,E2:E61)</f>
        <v>0.39692818413442083</v>
      </c>
      <c r="Q11" s="8"/>
      <c r="R11" s="8" t="s">
        <v>70</v>
      </c>
      <c r="S11" s="8" t="s">
        <v>71</v>
      </c>
      <c r="T11" s="8" t="s">
        <v>72</v>
      </c>
      <c r="U11" s="8" t="s">
        <v>73</v>
      </c>
      <c r="V11" s="8"/>
    </row>
    <row r="12" spans="1:22" ht="14.25" customHeight="1" x14ac:dyDescent="0.2">
      <c r="A12" s="2" t="s">
        <v>15</v>
      </c>
      <c r="B12" s="3">
        <v>90</v>
      </c>
      <c r="C12" s="3">
        <v>107</v>
      </c>
      <c r="D12" s="3">
        <v>93</v>
      </c>
      <c r="E12" s="3">
        <v>75</v>
      </c>
      <c r="Q12" s="8"/>
      <c r="R12" s="8"/>
      <c r="S12" s="10">
        <v>0.84209999999999996</v>
      </c>
      <c r="T12" s="8">
        <v>125</v>
      </c>
      <c r="U12" s="11">
        <v>40.774000000000001</v>
      </c>
      <c r="V12" s="8">
        <f>(S12*125+40.77)</f>
        <v>146.0325</v>
      </c>
    </row>
    <row r="13" spans="1:22" ht="14.25" customHeight="1" x14ac:dyDescent="0.2">
      <c r="A13" s="2" t="s">
        <v>16</v>
      </c>
      <c r="B13" s="3">
        <v>74</v>
      </c>
      <c r="C13" s="3">
        <v>97</v>
      </c>
      <c r="D13" s="3">
        <v>52</v>
      </c>
      <c r="E13" s="3">
        <v>58</v>
      </c>
    </row>
    <row r="14" spans="1:22" ht="14.25" customHeight="1" x14ac:dyDescent="0.2">
      <c r="A14" s="2" t="s">
        <v>17</v>
      </c>
      <c r="B14" s="3">
        <v>74</v>
      </c>
      <c r="C14" s="3">
        <v>133</v>
      </c>
      <c r="D14" s="3">
        <v>60</v>
      </c>
      <c r="E14" s="3">
        <v>50</v>
      </c>
    </row>
    <row r="15" spans="1:22" ht="14.25" customHeight="1" x14ac:dyDescent="0.2">
      <c r="A15" s="2" t="s">
        <v>18</v>
      </c>
      <c r="B15" s="3">
        <v>65</v>
      </c>
      <c r="C15" s="3">
        <v>96</v>
      </c>
      <c r="D15" s="3">
        <v>52</v>
      </c>
      <c r="E15" s="3">
        <v>74</v>
      </c>
    </row>
    <row r="16" spans="1:22" ht="14.25" customHeight="1" x14ac:dyDescent="0.2">
      <c r="A16" s="2" t="s">
        <v>19</v>
      </c>
      <c r="B16" s="3">
        <v>66</v>
      </c>
      <c r="C16" s="3">
        <v>97</v>
      </c>
      <c r="D16" s="3">
        <v>65</v>
      </c>
      <c r="E16" s="3">
        <v>81</v>
      </c>
    </row>
    <row r="17" spans="1:21" ht="14.25" customHeight="1" x14ac:dyDescent="0.2">
      <c r="A17" s="2" t="s">
        <v>20</v>
      </c>
      <c r="B17" s="3">
        <v>73</v>
      </c>
      <c r="C17" s="3">
        <v>116</v>
      </c>
      <c r="D17" s="3">
        <v>62</v>
      </c>
      <c r="E17" s="3">
        <v>45</v>
      </c>
    </row>
    <row r="18" spans="1:21" ht="14.25" customHeight="1" x14ac:dyDescent="0.2">
      <c r="A18" s="2" t="s">
        <v>21</v>
      </c>
      <c r="B18" s="3">
        <v>80</v>
      </c>
      <c r="C18" s="3">
        <v>108</v>
      </c>
      <c r="D18" s="3">
        <v>74</v>
      </c>
      <c r="E18" s="3">
        <v>92</v>
      </c>
    </row>
    <row r="19" spans="1:21" ht="14.25" customHeight="1" x14ac:dyDescent="0.2">
      <c r="A19" s="2" t="s">
        <v>22</v>
      </c>
      <c r="B19" s="3">
        <v>96</v>
      </c>
      <c r="C19" s="3">
        <v>102</v>
      </c>
      <c r="D19" s="3">
        <v>84</v>
      </c>
      <c r="E19" s="3">
        <v>84</v>
      </c>
      <c r="R19" s="8" t="s">
        <v>74</v>
      </c>
      <c r="S19" s="8" t="s">
        <v>75</v>
      </c>
      <c r="T19" s="8"/>
      <c r="U19" s="8"/>
    </row>
    <row r="20" spans="1:21" ht="14.25" customHeight="1" x14ac:dyDescent="0.2">
      <c r="A20" s="2" t="s">
        <v>23</v>
      </c>
      <c r="B20" s="3">
        <v>77</v>
      </c>
      <c r="C20" s="3">
        <v>94</v>
      </c>
      <c r="D20" s="3">
        <v>78</v>
      </c>
      <c r="E20" s="3">
        <v>79</v>
      </c>
      <c r="R20" s="18" t="s">
        <v>76</v>
      </c>
      <c r="S20" s="8" t="s">
        <v>77</v>
      </c>
      <c r="T20" s="8"/>
      <c r="U20" s="8"/>
    </row>
    <row r="21" spans="1:21" ht="14.25" customHeight="1" x14ac:dyDescent="0.2">
      <c r="A21" s="2" t="s">
        <v>24</v>
      </c>
      <c r="B21" s="3">
        <v>73</v>
      </c>
      <c r="C21" s="3">
        <v>98</v>
      </c>
      <c r="D21" s="3">
        <v>71</v>
      </c>
      <c r="E21" s="3">
        <v>68</v>
      </c>
      <c r="R21" s="18"/>
      <c r="S21" s="8" t="s">
        <v>78</v>
      </c>
      <c r="T21" s="8"/>
      <c r="U21" s="8"/>
    </row>
    <row r="22" spans="1:21" ht="14.25" customHeight="1" x14ac:dyDescent="0.2">
      <c r="A22" s="2" t="s">
        <v>25</v>
      </c>
      <c r="B22" s="3">
        <v>70</v>
      </c>
      <c r="C22" s="3">
        <v>87</v>
      </c>
      <c r="D22" s="3">
        <v>63</v>
      </c>
      <c r="E22" s="3">
        <v>62</v>
      </c>
      <c r="R22" s="18"/>
      <c r="S22" s="8" t="s">
        <v>79</v>
      </c>
      <c r="T22" s="8"/>
      <c r="U22" s="8"/>
    </row>
    <row r="23" spans="1:21" ht="14.25" customHeight="1" x14ac:dyDescent="0.2">
      <c r="A23" s="2" t="s">
        <v>26</v>
      </c>
      <c r="B23" s="3">
        <v>68</v>
      </c>
      <c r="C23" s="3">
        <v>104</v>
      </c>
      <c r="D23" s="3">
        <v>57</v>
      </c>
      <c r="E23" s="3">
        <v>53</v>
      </c>
      <c r="R23" s="18"/>
      <c r="S23" s="8" t="s">
        <v>80</v>
      </c>
      <c r="T23" s="8"/>
      <c r="U23" s="8"/>
    </row>
    <row r="24" spans="1:21" ht="14.25" customHeight="1" x14ac:dyDescent="0.2">
      <c r="A24" s="2" t="s">
        <v>27</v>
      </c>
      <c r="B24" s="3">
        <v>66</v>
      </c>
      <c r="C24" s="3">
        <v>85</v>
      </c>
      <c r="D24" s="3">
        <v>57</v>
      </c>
      <c r="E24" s="3">
        <v>51</v>
      </c>
    </row>
    <row r="25" spans="1:21" ht="14.25" customHeight="1" x14ac:dyDescent="0.2">
      <c r="A25" s="2" t="s">
        <v>28</v>
      </c>
      <c r="B25" s="3">
        <v>86</v>
      </c>
      <c r="C25" s="3">
        <v>145</v>
      </c>
      <c r="D25" s="3">
        <v>64</v>
      </c>
      <c r="E25" s="3">
        <v>74</v>
      </c>
    </row>
    <row r="26" spans="1:21" ht="14.25" customHeight="1" x14ac:dyDescent="0.2">
      <c r="A26" s="2" t="s">
        <v>29</v>
      </c>
      <c r="B26" s="3">
        <v>88</v>
      </c>
      <c r="C26" s="3">
        <v>105</v>
      </c>
      <c r="D26" s="3">
        <v>76</v>
      </c>
      <c r="E26" s="3">
        <v>90</v>
      </c>
    </row>
    <row r="27" spans="1:21" ht="14.25" customHeight="1" x14ac:dyDescent="0.2">
      <c r="A27" s="2" t="s">
        <v>30</v>
      </c>
      <c r="B27" s="3">
        <v>82</v>
      </c>
      <c r="C27" s="3">
        <v>96</v>
      </c>
      <c r="D27" s="3">
        <v>71</v>
      </c>
      <c r="E27" s="3">
        <v>63</v>
      </c>
    </row>
    <row r="28" spans="1:21" ht="14.25" customHeight="1" x14ac:dyDescent="0.2">
      <c r="A28" s="2" t="s">
        <v>31</v>
      </c>
      <c r="B28" s="3">
        <v>85</v>
      </c>
      <c r="C28" s="3">
        <v>103</v>
      </c>
      <c r="D28" s="3">
        <v>85</v>
      </c>
      <c r="E28" s="3">
        <v>81</v>
      </c>
    </row>
    <row r="29" spans="1:21" ht="14.25" customHeight="1" x14ac:dyDescent="0.2">
      <c r="A29" s="2" t="s">
        <v>32</v>
      </c>
      <c r="B29" s="3">
        <v>78</v>
      </c>
      <c r="C29" s="3">
        <v>115</v>
      </c>
      <c r="D29" s="3">
        <v>56</v>
      </c>
      <c r="E29" s="3">
        <v>75</v>
      </c>
    </row>
    <row r="30" spans="1:21" ht="14.25" customHeight="1" x14ac:dyDescent="0.2">
      <c r="A30" s="2" t="s">
        <v>33</v>
      </c>
      <c r="B30" s="3">
        <v>87</v>
      </c>
      <c r="C30" s="3">
        <v>135</v>
      </c>
      <c r="D30" s="3">
        <v>61</v>
      </c>
      <c r="E30" s="3">
        <v>61</v>
      </c>
    </row>
    <row r="31" spans="1:21" ht="14.25" customHeight="1" x14ac:dyDescent="0.2">
      <c r="A31" s="2" t="s">
        <v>34</v>
      </c>
      <c r="B31" s="3">
        <v>72</v>
      </c>
      <c r="C31" s="3">
        <v>104</v>
      </c>
      <c r="D31" s="3">
        <v>58</v>
      </c>
      <c r="E31" s="3">
        <v>53</v>
      </c>
    </row>
    <row r="32" spans="1:21" ht="14.25" customHeight="1" x14ac:dyDescent="0.2">
      <c r="A32" s="2" t="s">
        <v>35</v>
      </c>
      <c r="B32" s="3">
        <v>87</v>
      </c>
      <c r="C32" s="3">
        <v>126</v>
      </c>
      <c r="D32" s="3">
        <v>83</v>
      </c>
      <c r="E32" s="3">
        <v>59</v>
      </c>
    </row>
    <row r="33" spans="1:5" ht="14.25" customHeight="1" x14ac:dyDescent="0.2">
      <c r="A33" s="2" t="s">
        <v>36</v>
      </c>
      <c r="B33" s="3">
        <v>81</v>
      </c>
      <c r="C33" s="3">
        <v>121</v>
      </c>
      <c r="D33" s="3">
        <v>70</v>
      </c>
      <c r="E33" s="3">
        <v>81</v>
      </c>
    </row>
    <row r="34" spans="1:5" ht="14.25" customHeight="1" x14ac:dyDescent="0.2">
      <c r="A34" s="2" t="s">
        <v>9</v>
      </c>
      <c r="B34" s="3">
        <v>83</v>
      </c>
      <c r="C34" s="3">
        <v>106</v>
      </c>
      <c r="D34" s="3">
        <v>72</v>
      </c>
      <c r="E34" s="3">
        <v>88</v>
      </c>
    </row>
    <row r="35" spans="1:5" ht="14.25" customHeight="1" x14ac:dyDescent="0.2">
      <c r="A35" s="2" t="s">
        <v>37</v>
      </c>
      <c r="B35" s="3">
        <v>87</v>
      </c>
      <c r="C35" s="3">
        <v>107</v>
      </c>
      <c r="D35" s="3">
        <v>93</v>
      </c>
      <c r="E35" s="3">
        <v>72</v>
      </c>
    </row>
    <row r="36" spans="1:5" ht="14.25" customHeight="1" x14ac:dyDescent="0.2">
      <c r="A36" s="2" t="s">
        <v>38</v>
      </c>
      <c r="B36" s="3">
        <v>63</v>
      </c>
      <c r="C36" s="3">
        <v>102</v>
      </c>
      <c r="D36" s="3">
        <v>47</v>
      </c>
      <c r="E36" s="3">
        <v>64</v>
      </c>
    </row>
    <row r="37" spans="1:5" ht="14.25" customHeight="1" x14ac:dyDescent="0.2">
      <c r="A37" s="2" t="s">
        <v>24</v>
      </c>
      <c r="B37" s="3">
        <v>80</v>
      </c>
      <c r="C37" s="3">
        <v>85</v>
      </c>
      <c r="D37" s="3">
        <v>64</v>
      </c>
      <c r="E37" s="3">
        <v>81</v>
      </c>
    </row>
    <row r="38" spans="1:5" ht="14.25" customHeight="1" x14ac:dyDescent="0.2">
      <c r="A38" s="2" t="s">
        <v>39</v>
      </c>
      <c r="B38" s="3">
        <v>99</v>
      </c>
      <c r="C38" s="3">
        <v>143</v>
      </c>
      <c r="D38" s="3">
        <v>97</v>
      </c>
      <c r="E38" s="3">
        <v>79</v>
      </c>
    </row>
    <row r="39" spans="1:5" ht="14.25" customHeight="1" x14ac:dyDescent="0.2">
      <c r="A39" s="2" t="s">
        <v>40</v>
      </c>
      <c r="B39" s="3">
        <v>79</v>
      </c>
      <c r="C39" s="3">
        <v>110</v>
      </c>
      <c r="D39" s="3">
        <v>73</v>
      </c>
      <c r="E39" s="3">
        <v>57</v>
      </c>
    </row>
    <row r="40" spans="1:5" ht="14.25" customHeight="1" x14ac:dyDescent="0.2">
      <c r="A40" s="2" t="s">
        <v>41</v>
      </c>
      <c r="B40" s="3">
        <v>71</v>
      </c>
      <c r="C40" s="3">
        <v>128</v>
      </c>
      <c r="D40" s="3">
        <v>41</v>
      </c>
      <c r="E40" s="3">
        <v>48</v>
      </c>
    </row>
    <row r="41" spans="1:5" ht="14.25" customHeight="1" x14ac:dyDescent="0.2">
      <c r="A41" s="2" t="s">
        <v>42</v>
      </c>
      <c r="B41" s="3">
        <v>82</v>
      </c>
      <c r="C41" s="3">
        <v>104</v>
      </c>
      <c r="D41" s="3">
        <v>78</v>
      </c>
      <c r="E41" s="3">
        <v>53</v>
      </c>
    </row>
    <row r="42" spans="1:5" ht="14.25" customHeight="1" x14ac:dyDescent="0.2">
      <c r="A42" s="2" t="s">
        <v>43</v>
      </c>
      <c r="B42" s="3">
        <v>85</v>
      </c>
      <c r="C42" s="3">
        <v>101</v>
      </c>
      <c r="D42" s="3">
        <v>87</v>
      </c>
      <c r="E42" s="3">
        <v>65</v>
      </c>
    </row>
    <row r="43" spans="1:5" ht="14.25" customHeight="1" x14ac:dyDescent="0.2">
      <c r="A43" s="2" t="s">
        <v>11</v>
      </c>
      <c r="B43" s="3">
        <v>75</v>
      </c>
      <c r="C43" s="3">
        <v>94</v>
      </c>
      <c r="D43" s="3">
        <v>54</v>
      </c>
      <c r="E43" s="3">
        <v>60</v>
      </c>
    </row>
    <row r="44" spans="1:5" ht="14.25" customHeight="1" x14ac:dyDescent="0.2">
      <c r="A44" s="2" t="s">
        <v>9</v>
      </c>
      <c r="B44" s="3">
        <v>81</v>
      </c>
      <c r="C44" s="3">
        <v>106</v>
      </c>
      <c r="D44" s="3">
        <v>72</v>
      </c>
      <c r="E44" s="3">
        <v>55</v>
      </c>
    </row>
    <row r="45" spans="1:5" ht="14.25" customHeight="1" x14ac:dyDescent="0.2">
      <c r="A45" s="2" t="s">
        <v>44</v>
      </c>
      <c r="B45" s="3">
        <v>68</v>
      </c>
      <c r="C45" s="3">
        <v>102</v>
      </c>
      <c r="D45" s="3">
        <v>32</v>
      </c>
      <c r="E45" s="3">
        <v>69</v>
      </c>
    </row>
    <row r="46" spans="1:5" ht="14.25" customHeight="1" x14ac:dyDescent="0.2">
      <c r="A46" s="2" t="s">
        <v>45</v>
      </c>
      <c r="B46" s="3">
        <v>81</v>
      </c>
      <c r="C46" s="3">
        <v>98</v>
      </c>
      <c r="D46" s="3">
        <v>72</v>
      </c>
      <c r="E46" s="3">
        <v>69</v>
      </c>
    </row>
    <row r="47" spans="1:5" ht="14.25" customHeight="1" x14ac:dyDescent="0.2">
      <c r="A47" s="2" t="s">
        <v>46</v>
      </c>
      <c r="B47" s="3">
        <v>80</v>
      </c>
      <c r="C47" s="3">
        <v>112</v>
      </c>
      <c r="D47" s="3">
        <v>72</v>
      </c>
      <c r="E47" s="3">
        <v>78</v>
      </c>
    </row>
    <row r="48" spans="1:5" ht="14.25" customHeight="1" x14ac:dyDescent="0.2">
      <c r="A48" s="2" t="s">
        <v>47</v>
      </c>
      <c r="B48" s="3">
        <v>78</v>
      </c>
      <c r="C48" s="3">
        <v>87</v>
      </c>
      <c r="D48" s="3">
        <v>74</v>
      </c>
      <c r="E48" s="3">
        <v>93</v>
      </c>
    </row>
    <row r="49" spans="1:8" ht="14.25" customHeight="1" x14ac:dyDescent="0.2">
      <c r="A49" s="2" t="s">
        <v>48</v>
      </c>
      <c r="B49" s="3">
        <v>62</v>
      </c>
      <c r="C49" s="3">
        <v>73</v>
      </c>
      <c r="D49" s="3">
        <v>68</v>
      </c>
      <c r="E49" s="3">
        <v>67</v>
      </c>
    </row>
    <row r="50" spans="1:8" ht="14.25" customHeight="1" x14ac:dyDescent="0.2">
      <c r="A50" s="2" t="s">
        <v>49</v>
      </c>
      <c r="B50" s="3">
        <v>81</v>
      </c>
      <c r="C50" s="3">
        <v>94</v>
      </c>
      <c r="D50" s="3">
        <v>67</v>
      </c>
      <c r="E50" s="3">
        <v>59</v>
      </c>
    </row>
    <row r="51" spans="1:8" ht="14.25" customHeight="1" x14ac:dyDescent="0.2">
      <c r="A51" s="2" t="s">
        <v>50</v>
      </c>
      <c r="B51" s="3">
        <v>76</v>
      </c>
      <c r="C51" s="3">
        <v>117</v>
      </c>
      <c r="D51" s="3">
        <v>66</v>
      </c>
      <c r="E51" s="3">
        <v>68</v>
      </c>
    </row>
    <row r="52" spans="1:8" ht="14.25" customHeight="1" x14ac:dyDescent="0.2">
      <c r="A52" s="2" t="s">
        <v>51</v>
      </c>
      <c r="B52" s="3">
        <v>77</v>
      </c>
      <c r="C52" s="3">
        <v>112</v>
      </c>
      <c r="D52" s="3">
        <v>58</v>
      </c>
      <c r="E52" s="3">
        <v>57</v>
      </c>
    </row>
    <row r="53" spans="1:8" ht="14.25" customHeight="1" x14ac:dyDescent="0.2">
      <c r="A53" s="2" t="s">
        <v>52</v>
      </c>
      <c r="B53" s="3">
        <v>74</v>
      </c>
      <c r="C53" s="3">
        <v>113</v>
      </c>
      <c r="D53" s="3">
        <v>57</v>
      </c>
      <c r="E53" s="3">
        <v>76</v>
      </c>
    </row>
    <row r="54" spans="1:8" ht="14.25" customHeight="1" x14ac:dyDescent="0.2">
      <c r="A54" s="2" t="s">
        <v>9</v>
      </c>
      <c r="B54" s="3">
        <v>69</v>
      </c>
      <c r="C54" s="3">
        <v>94</v>
      </c>
      <c r="D54" s="3">
        <v>65</v>
      </c>
      <c r="E54" s="3">
        <v>53</v>
      </c>
    </row>
    <row r="55" spans="1:8" ht="14.25" customHeight="1" x14ac:dyDescent="0.2">
      <c r="A55" s="2" t="s">
        <v>53</v>
      </c>
      <c r="B55" s="3">
        <v>68</v>
      </c>
      <c r="C55" s="3">
        <v>119</v>
      </c>
      <c r="D55" s="3">
        <v>48</v>
      </c>
      <c r="E55" s="3">
        <v>44</v>
      </c>
    </row>
    <row r="56" spans="1:8" ht="14.25" customHeight="1" x14ac:dyDescent="0.2">
      <c r="A56" s="2" t="s">
        <v>54</v>
      </c>
      <c r="B56" s="3">
        <v>85</v>
      </c>
      <c r="C56" s="3">
        <v>111</v>
      </c>
      <c r="D56" s="3">
        <v>91</v>
      </c>
      <c r="E56" s="3">
        <v>59</v>
      </c>
    </row>
    <row r="57" spans="1:8" ht="14.25" customHeight="1" x14ac:dyDescent="0.2">
      <c r="A57" s="2" t="s">
        <v>55</v>
      </c>
      <c r="B57" s="3">
        <v>79</v>
      </c>
      <c r="C57" s="3">
        <v>104</v>
      </c>
      <c r="D57" s="3">
        <v>50</v>
      </c>
      <c r="E57" s="3">
        <v>73</v>
      </c>
    </row>
    <row r="58" spans="1:8" ht="14.25" customHeight="1" x14ac:dyDescent="0.2">
      <c r="A58" s="2" t="s">
        <v>56</v>
      </c>
      <c r="B58" s="3">
        <v>74</v>
      </c>
      <c r="C58" s="3">
        <v>99</v>
      </c>
      <c r="D58" s="3">
        <v>77</v>
      </c>
      <c r="E58" s="3">
        <v>83</v>
      </c>
    </row>
    <row r="59" spans="1:8" ht="14.25" customHeight="1" x14ac:dyDescent="0.2">
      <c r="A59" s="2" t="s">
        <v>57</v>
      </c>
      <c r="B59" s="3">
        <v>81</v>
      </c>
      <c r="C59" s="3">
        <v>104</v>
      </c>
      <c r="D59" s="3">
        <v>78</v>
      </c>
      <c r="E59" s="3">
        <v>83</v>
      </c>
    </row>
    <row r="60" spans="1:8" ht="14.25" customHeight="1" x14ac:dyDescent="0.2">
      <c r="A60" s="2" t="s">
        <v>58</v>
      </c>
      <c r="B60" s="3">
        <v>84</v>
      </c>
      <c r="C60" s="3">
        <v>108</v>
      </c>
      <c r="D60" s="3">
        <v>58</v>
      </c>
      <c r="E60" s="3">
        <v>64</v>
      </c>
    </row>
    <row r="61" spans="1:8" ht="14.25" customHeight="1" x14ac:dyDescent="0.2">
      <c r="A61" s="2" t="s">
        <v>59</v>
      </c>
      <c r="B61" s="3">
        <v>92</v>
      </c>
      <c r="C61" s="3">
        <v>130</v>
      </c>
      <c r="D61" s="3">
        <v>58</v>
      </c>
      <c r="E61" s="3">
        <v>75</v>
      </c>
    </row>
    <row r="62" spans="1:8" ht="14.25" customHeight="1" x14ac:dyDescent="0.2">
      <c r="B62" s="5"/>
    </row>
    <row r="63" spans="1:8" ht="14.25" customHeight="1" x14ac:dyDescent="0.2">
      <c r="A63" s="5" t="s">
        <v>60</v>
      </c>
      <c r="B63" s="4">
        <f>AVERAGE(B2:B61)</f>
        <v>78.11666666666666</v>
      </c>
      <c r="C63" s="4">
        <f t="shared" ref="C63:E63" si="0">AVERAGE(C2:C61)</f>
        <v>106.65</v>
      </c>
      <c r="D63" s="4">
        <f t="shared" si="0"/>
        <v>66.95</v>
      </c>
      <c r="E63" s="4">
        <f t="shared" si="0"/>
        <v>67.716666666666669</v>
      </c>
      <c r="H63" s="9"/>
    </row>
    <row r="64" spans="1:8" ht="14.25" customHeight="1" x14ac:dyDescent="0.2">
      <c r="A64" s="5" t="s">
        <v>62</v>
      </c>
      <c r="B64" s="4">
        <f>MEDIAN(B2:B61)</f>
        <v>78.5</v>
      </c>
      <c r="C64" s="4">
        <f t="shared" ref="C64:E64" si="1">MEDIAN(C2:C61)</f>
        <v>105.5</v>
      </c>
      <c r="D64" s="4">
        <f t="shared" si="1"/>
        <v>65.5</v>
      </c>
      <c r="E64" s="4">
        <f t="shared" si="1"/>
        <v>67.5</v>
      </c>
    </row>
    <row r="65" spans="1:5" ht="14.25" customHeight="1" x14ac:dyDescent="0.2">
      <c r="A65" s="5" t="s">
        <v>61</v>
      </c>
      <c r="B65" s="4">
        <f>MODE(B2:B61)</f>
        <v>81</v>
      </c>
      <c r="C65" s="4">
        <f t="shared" ref="C65:E65" si="2">MODE(C2:C61)</f>
        <v>104</v>
      </c>
      <c r="D65" s="4">
        <f t="shared" si="2"/>
        <v>58</v>
      </c>
      <c r="E65" s="4">
        <f t="shared" si="2"/>
        <v>75</v>
      </c>
    </row>
    <row r="66" spans="1:5" ht="14.25" customHeight="1" x14ac:dyDescent="0.2">
      <c r="A66" s="5" t="s">
        <v>63</v>
      </c>
      <c r="B66" s="4">
        <f>QUARTILE(B2:B61,3)</f>
        <v>84</v>
      </c>
      <c r="C66" s="6">
        <f t="shared" ref="C66:E66" si="3">QUARTILE(C2:C61,3)</f>
        <v>112.25</v>
      </c>
      <c r="D66" s="4">
        <f t="shared" si="3"/>
        <v>74.5</v>
      </c>
      <c r="E66" s="4">
        <f t="shared" si="3"/>
        <v>76.5</v>
      </c>
    </row>
    <row r="67" spans="1:5" ht="14.25" customHeight="1" x14ac:dyDescent="0.2"/>
    <row r="68" spans="1:5" ht="14.25" customHeight="1" x14ac:dyDescent="0.2"/>
    <row r="69" spans="1:5" ht="14.25" customHeight="1" x14ac:dyDescent="0.2"/>
    <row r="70" spans="1:5" ht="14.25" customHeight="1" x14ac:dyDescent="0.2"/>
    <row r="71" spans="1:5" ht="14.25" customHeight="1" x14ac:dyDescent="0.2"/>
    <row r="72" spans="1:5" ht="14.25" customHeight="1" x14ac:dyDescent="0.2"/>
    <row r="73" spans="1:5" ht="14.25" customHeight="1" x14ac:dyDescent="0.2"/>
    <row r="74" spans="1:5" ht="14.25" customHeight="1" x14ac:dyDescent="0.2"/>
    <row r="75" spans="1:5" ht="14.25" customHeight="1" x14ac:dyDescent="0.2"/>
    <row r="76" spans="1:5" ht="14.25" customHeight="1" x14ac:dyDescent="0.2"/>
    <row r="77" spans="1:5" ht="14.25" customHeight="1" x14ac:dyDescent="0.2"/>
    <row r="78" spans="1:5" ht="14.25" customHeight="1" x14ac:dyDescent="0.2"/>
    <row r="79" spans="1:5" ht="14.25" customHeight="1" x14ac:dyDescent="0.2"/>
    <row r="80" spans="1: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R20:R23"/>
  </mergeCells>
  <phoneticPr fontId="3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3AC6-8144-584F-BFE6-C8178E9FBBB6}">
  <dimension ref="A1:E12"/>
  <sheetViews>
    <sheetView workbookViewId="0">
      <selection activeCell="D13" sqref="D13"/>
    </sheetView>
  </sheetViews>
  <sheetFormatPr baseColWidth="10" defaultRowHeight="15" x14ac:dyDescent="0.2"/>
  <sheetData>
    <row r="1" spans="1:5" x14ac:dyDescent="0.2">
      <c r="A1" s="12"/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 t="s">
        <v>1</v>
      </c>
      <c r="B2" s="13">
        <v>1</v>
      </c>
      <c r="C2" s="13"/>
      <c r="D2" s="13"/>
      <c r="E2" s="13"/>
    </row>
    <row r="3" spans="1:5" x14ac:dyDescent="0.2">
      <c r="A3" s="13" t="s">
        <v>2</v>
      </c>
      <c r="B3" s="13">
        <v>0.47378037358041264</v>
      </c>
      <c r="C3" s="13">
        <v>1</v>
      </c>
      <c r="D3" s="13"/>
      <c r="E3" s="13"/>
    </row>
    <row r="4" spans="1:5" x14ac:dyDescent="0.2">
      <c r="A4" s="13" t="s">
        <v>3</v>
      </c>
      <c r="B4" s="13">
        <v>0.63486568560661627</v>
      </c>
      <c r="C4" s="13">
        <v>4.6877909869966976E-2</v>
      </c>
      <c r="D4" s="13">
        <v>1</v>
      </c>
      <c r="E4" s="13"/>
    </row>
    <row r="5" spans="1:5" ht="16" thickBot="1" x14ac:dyDescent="0.25">
      <c r="A5" s="14" t="s">
        <v>4</v>
      </c>
      <c r="B5" s="14">
        <v>0.39692818413442083</v>
      </c>
      <c r="C5" s="14">
        <v>-9.1805172347728572E-2</v>
      </c>
      <c r="D5" s="14">
        <v>0.36339641156786279</v>
      </c>
      <c r="E5" s="14">
        <v>1</v>
      </c>
    </row>
    <row r="9" spans="1:5" x14ac:dyDescent="0.2">
      <c r="B9" s="5" t="s">
        <v>102</v>
      </c>
    </row>
    <row r="10" spans="1:5" x14ac:dyDescent="0.2">
      <c r="B10" s="5" t="s">
        <v>103</v>
      </c>
    </row>
    <row r="11" spans="1:5" x14ac:dyDescent="0.2">
      <c r="B11" s="5" t="s">
        <v>104</v>
      </c>
    </row>
    <row r="12" spans="1:5" x14ac:dyDescent="0.2">
      <c r="B12" s="5" t="s">
        <v>105</v>
      </c>
    </row>
  </sheetData>
  <conditionalFormatting sqref="A1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26E0-EED6-8C47-9FB3-8178516EA342}">
  <dimension ref="A1:H13"/>
  <sheetViews>
    <sheetView workbookViewId="0">
      <selection activeCell="G13" sqref="G13"/>
    </sheetView>
  </sheetViews>
  <sheetFormatPr baseColWidth="10" defaultRowHeight="15" x14ac:dyDescent="0.2"/>
  <sheetData>
    <row r="1" spans="1:8" x14ac:dyDescent="0.2">
      <c r="A1" t="s">
        <v>81</v>
      </c>
    </row>
    <row r="4" spans="1:8" x14ac:dyDescent="0.2">
      <c r="A4" s="15"/>
      <c r="B4" s="15" t="s">
        <v>82</v>
      </c>
      <c r="C4" s="8"/>
      <c r="E4" s="16" t="s">
        <v>83</v>
      </c>
      <c r="F4" s="16" t="s">
        <v>84</v>
      </c>
      <c r="G4" s="8"/>
      <c r="H4" s="8"/>
    </row>
    <row r="5" spans="1:8" x14ac:dyDescent="0.2">
      <c r="A5" s="8" t="s">
        <v>85</v>
      </c>
      <c r="B5" s="8">
        <v>18.131459400009589</v>
      </c>
      <c r="C5" s="16" t="s">
        <v>86</v>
      </c>
      <c r="E5" s="8"/>
      <c r="F5" s="16" t="s">
        <v>87</v>
      </c>
      <c r="G5" s="16" t="s">
        <v>88</v>
      </c>
      <c r="H5" s="16" t="s">
        <v>89</v>
      </c>
    </row>
    <row r="6" spans="1:8" x14ac:dyDescent="0.2">
      <c r="A6" s="8" t="s">
        <v>2</v>
      </c>
      <c r="B6" s="8">
        <v>0.2648719764359142</v>
      </c>
      <c r="C6" s="16" t="s">
        <v>90</v>
      </c>
      <c r="E6" s="8"/>
      <c r="F6" s="16" t="s">
        <v>2</v>
      </c>
      <c r="G6" s="16" t="s">
        <v>91</v>
      </c>
      <c r="H6" s="16" t="s">
        <v>92</v>
      </c>
    </row>
    <row r="7" spans="1:8" x14ac:dyDescent="0.2">
      <c r="A7" s="8" t="s">
        <v>3</v>
      </c>
      <c r="B7" s="8">
        <v>0.30819556137523774</v>
      </c>
      <c r="C7" s="16" t="s">
        <v>93</v>
      </c>
      <c r="E7" s="16" t="s">
        <v>94</v>
      </c>
      <c r="F7" s="8">
        <f>Dashboard!D10</f>
        <v>136</v>
      </c>
      <c r="G7" s="8">
        <f>[1]Dashboard!I10</f>
        <v>83</v>
      </c>
      <c r="H7" s="8">
        <f>[1]Dashboard!N10</f>
        <v>76</v>
      </c>
    </row>
    <row r="8" spans="1:8" x14ac:dyDescent="0.2">
      <c r="A8" s="8" t="s">
        <v>4</v>
      </c>
      <c r="B8" s="8">
        <v>0.16396138044343569</v>
      </c>
      <c r="C8" s="16" t="s">
        <v>95</v>
      </c>
      <c r="E8" s="8"/>
      <c r="F8" s="8"/>
      <c r="G8" s="8"/>
      <c r="H8" s="8"/>
    </row>
    <row r="9" spans="1:8" x14ac:dyDescent="0.2">
      <c r="E9" s="8"/>
      <c r="F9" s="16" t="s">
        <v>75</v>
      </c>
      <c r="G9" s="8"/>
      <c r="H9" s="8"/>
    </row>
    <row r="10" spans="1:8" x14ac:dyDescent="0.2">
      <c r="E10" s="8"/>
      <c r="F10" s="8"/>
      <c r="G10" s="8"/>
      <c r="H10" s="8"/>
    </row>
    <row r="11" spans="1:8" x14ac:dyDescent="0.2">
      <c r="E11" s="16" t="s">
        <v>1</v>
      </c>
      <c r="F11" s="8"/>
      <c r="G11" s="17">
        <f>B6*F7+B7*G7+B8*H7+B5</f>
        <v>92.195344703139767</v>
      </c>
      <c r="H11" s="8"/>
    </row>
    <row r="12" spans="1:8" x14ac:dyDescent="0.2">
      <c r="E12" s="8"/>
      <c r="F12" s="8"/>
      <c r="G12" s="8"/>
      <c r="H12" s="8"/>
    </row>
    <row r="13" spans="1:8" x14ac:dyDescent="0.2">
      <c r="E13" s="16" t="s">
        <v>96</v>
      </c>
      <c r="F13" s="8"/>
      <c r="G13" s="8" t="str">
        <f>IF(G11&gt;=80,"SELECTED","REJECTED")</f>
        <v>SELECTED</v>
      </c>
      <c r="H1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32E4-C81A-2846-94B2-93582EADF6C8}">
  <dimension ref="B1:R20"/>
  <sheetViews>
    <sheetView tabSelected="1" workbookViewId="0">
      <selection activeCell="H20" sqref="H20"/>
    </sheetView>
  </sheetViews>
  <sheetFormatPr baseColWidth="10" defaultRowHeight="15" x14ac:dyDescent="0.2"/>
  <sheetData>
    <row r="1" spans="2:18" ht="16" thickBot="1" x14ac:dyDescent="0.25"/>
    <row r="2" spans="2:18" x14ac:dyDescent="0.2">
      <c r="B2" s="35" t="s">
        <v>97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7"/>
    </row>
    <row r="3" spans="2:18" x14ac:dyDescent="0.2"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40"/>
    </row>
    <row r="4" spans="2:18" ht="16" thickBot="1" x14ac:dyDescent="0.25">
      <c r="B4" s="41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3"/>
    </row>
    <row r="6" spans="2:18" ht="16" thickBot="1" x14ac:dyDescent="0.25"/>
    <row r="7" spans="2:18" x14ac:dyDescent="0.2">
      <c r="D7" s="19" t="s">
        <v>2</v>
      </c>
      <c r="E7" s="20"/>
      <c r="F7" s="21"/>
      <c r="I7" s="19" t="s">
        <v>98</v>
      </c>
      <c r="J7" s="20"/>
      <c r="K7" s="21"/>
      <c r="N7" s="19" t="s">
        <v>99</v>
      </c>
      <c r="O7" s="20"/>
      <c r="P7" s="21"/>
    </row>
    <row r="8" spans="2:18" x14ac:dyDescent="0.2">
      <c r="D8" s="22"/>
      <c r="E8" s="23"/>
      <c r="F8" s="24"/>
      <c r="I8" s="22"/>
      <c r="J8" s="23"/>
      <c r="K8" s="24"/>
      <c r="N8" s="22"/>
      <c r="O8" s="23"/>
      <c r="P8" s="24"/>
    </row>
    <row r="9" spans="2:18" ht="16" thickBot="1" x14ac:dyDescent="0.25">
      <c r="D9" s="25"/>
      <c r="E9" s="26"/>
      <c r="F9" s="27"/>
      <c r="I9" s="25"/>
      <c r="J9" s="26"/>
      <c r="K9" s="27"/>
      <c r="N9" s="25"/>
      <c r="O9" s="26"/>
      <c r="P9" s="27"/>
    </row>
    <row r="10" spans="2:18" x14ac:dyDescent="0.2">
      <c r="D10" s="31">
        <v>136</v>
      </c>
      <c r="E10" s="29"/>
      <c r="F10" s="30"/>
      <c r="I10" s="31">
        <v>100</v>
      </c>
      <c r="J10" s="29"/>
      <c r="K10" s="30"/>
      <c r="N10" s="31">
        <v>95</v>
      </c>
      <c r="O10" s="29"/>
      <c r="P10" s="30"/>
    </row>
    <row r="11" spans="2:18" x14ac:dyDescent="0.2">
      <c r="D11" s="31"/>
      <c r="E11" s="29"/>
      <c r="F11" s="30"/>
      <c r="I11" s="31"/>
      <c r="J11" s="29"/>
      <c r="K11" s="30"/>
      <c r="N11" s="31"/>
      <c r="O11" s="29"/>
      <c r="P11" s="30"/>
    </row>
    <row r="12" spans="2:18" ht="16" thickBot="1" x14ac:dyDescent="0.25">
      <c r="D12" s="32"/>
      <c r="E12" s="33"/>
      <c r="F12" s="34"/>
      <c r="I12" s="32"/>
      <c r="J12" s="33"/>
      <c r="K12" s="34"/>
      <c r="N12" s="32"/>
      <c r="O12" s="33"/>
      <c r="P12" s="34"/>
    </row>
    <row r="14" spans="2:18" ht="16" thickBot="1" x14ac:dyDescent="0.25"/>
    <row r="15" spans="2:18" x14ac:dyDescent="0.2">
      <c r="E15" s="19" t="s">
        <v>101</v>
      </c>
      <c r="F15" s="20"/>
      <c r="G15" s="21"/>
      <c r="M15" s="19" t="s">
        <v>100</v>
      </c>
      <c r="N15" s="20"/>
      <c r="O15" s="21"/>
    </row>
    <row r="16" spans="2:18" x14ac:dyDescent="0.2">
      <c r="E16" s="22"/>
      <c r="F16" s="23"/>
      <c r="G16" s="24"/>
      <c r="M16" s="22"/>
      <c r="N16" s="23"/>
      <c r="O16" s="24"/>
    </row>
    <row r="17" spans="5:15" ht="16" thickBot="1" x14ac:dyDescent="0.25">
      <c r="E17" s="25"/>
      <c r="F17" s="26"/>
      <c r="G17" s="27"/>
      <c r="M17" s="25"/>
      <c r="N17" s="26"/>
      <c r="O17" s="27"/>
    </row>
    <row r="18" spans="5:15" x14ac:dyDescent="0.2">
      <c r="E18" s="28">
        <f>Regression!G11</f>
        <v>92.195344703139767</v>
      </c>
      <c r="F18" s="29"/>
      <c r="G18" s="30"/>
      <c r="M18" s="31" t="str">
        <f>Regression!G13</f>
        <v>SELECTED</v>
      </c>
      <c r="N18" s="29"/>
      <c r="O18" s="30"/>
    </row>
    <row r="19" spans="5:15" x14ac:dyDescent="0.2">
      <c r="E19" s="31"/>
      <c r="F19" s="29"/>
      <c r="G19" s="30"/>
      <c r="M19" s="31"/>
      <c r="N19" s="29"/>
      <c r="O19" s="30"/>
    </row>
    <row r="20" spans="5:15" ht="16" thickBot="1" x14ac:dyDescent="0.25">
      <c r="E20" s="32"/>
      <c r="F20" s="33"/>
      <c r="G20" s="34"/>
      <c r="M20" s="32"/>
      <c r="N20" s="33"/>
      <c r="O20" s="34"/>
    </row>
  </sheetData>
  <mergeCells count="11">
    <mergeCell ref="E15:G17"/>
    <mergeCell ref="E18:G20"/>
    <mergeCell ref="M15:O17"/>
    <mergeCell ref="M18:O20"/>
    <mergeCell ref="B2:R4"/>
    <mergeCell ref="D7:F9"/>
    <mergeCell ref="D10:F12"/>
    <mergeCell ref="I7:K9"/>
    <mergeCell ref="I10:K12"/>
    <mergeCell ref="N7:P9"/>
    <mergeCell ref="N10:P1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3" name="Spinner 2">
              <controlPr defaultSize="0" autoPict="0">
                <anchor moveWithCells="1" sizeWithCells="1">
                  <from>
                    <xdr:col>7</xdr:col>
                    <xdr:colOff>25400</xdr:colOff>
                    <xdr:row>9</xdr:row>
                    <xdr:rowOff>0</xdr:rowOff>
                  </from>
                  <to>
                    <xdr:col>7</xdr:col>
                    <xdr:colOff>774700</xdr:colOff>
                    <xdr:row>12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4" name="Spinner 3">
              <controlPr defaultSize="0" autoPict="0">
                <anchor moveWithCells="1" sizeWithCells="1">
                  <from>
                    <xdr:col>12</xdr:col>
                    <xdr:colOff>25400</xdr:colOff>
                    <xdr:row>8</xdr:row>
                    <xdr:rowOff>177800</xdr:rowOff>
                  </from>
                  <to>
                    <xdr:col>12</xdr:col>
                    <xdr:colOff>774700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5" name="Spinner 4">
              <controlPr defaultSize="0" autoPict="0">
                <anchor moveWithCells="1" sizeWithCells="1">
                  <from>
                    <xdr:col>2</xdr:col>
                    <xdr:colOff>114300</xdr:colOff>
                    <xdr:row>8</xdr:row>
                    <xdr:rowOff>190500</xdr:rowOff>
                  </from>
                  <to>
                    <xdr:col>2</xdr:col>
                    <xdr:colOff>774700</xdr:colOff>
                    <xdr:row>12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Correlation</vt:lpstr>
      <vt:lpstr>Regression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prasad</dc:creator>
  <cp:lastModifiedBy>Ashik Javi</cp:lastModifiedBy>
  <dcterms:created xsi:type="dcterms:W3CDTF">2019-06-03T09:47:01Z</dcterms:created>
  <dcterms:modified xsi:type="dcterms:W3CDTF">2026-03-03T11:04:41Z</dcterms:modified>
</cp:coreProperties>
</file>